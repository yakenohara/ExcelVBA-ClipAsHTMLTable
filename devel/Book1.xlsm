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filterPrivacy="1" codeName="ThisWorkbook" defaultThemeVersion="166925"/>
  <xr:revisionPtr revIDLastSave="0" documentId="13_ncr:1_{B972EBE4-AAA3-4540-85CE-F589A7B7CB9D}" xr6:coauthVersionLast="46" xr6:coauthVersionMax="46" xr10:uidLastSave="{00000000-0000-0000-0000-000000000000}"/>
  <bookViews>
    <workbookView xWindow="35565" yWindow="14430" windowWidth="24555" windowHeight="17490" activeTab="3" xr2:uid="{EDA4AC0C-2355-4854-B444-4E06F09FB4DF}"/>
  </bookViews>
  <sheets>
    <sheet name="Sheet1" sheetId="1" r:id="rId1"/>
    <sheet name="Sheet2" sheetId="2" r:id="rId2"/>
    <sheet name="Sheet3" sheetId="3" r:id="rId3"/>
    <sheet name="Sheet4" sheetId="4" r:id="rId4"/>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 i="1" l="1"/>
  <c r="E9" i="1"/>
  <c r="D9" i="1"/>
  <c r="C9" i="1"/>
  <c r="B9" i="1"/>
  <c r="A9" i="1"/>
  <c r="F8" i="1"/>
  <c r="E8" i="1"/>
  <c r="D8" i="1"/>
  <c r="C8" i="1"/>
  <c r="B8" i="1"/>
  <c r="A8" i="1"/>
  <c r="F7" i="1"/>
  <c r="E7" i="1"/>
  <c r="D7" i="1"/>
  <c r="C7" i="1"/>
  <c r="B7" i="1"/>
  <c r="A7" i="1"/>
  <c r="F6" i="1"/>
  <c r="B6" i="1"/>
  <c r="A6" i="1"/>
  <c r="F5" i="1"/>
  <c r="B5" i="1"/>
  <c r="A5" i="1"/>
  <c r="F4" i="1"/>
  <c r="B4" i="1"/>
  <c r="A4" i="1"/>
  <c r="F3" i="1"/>
  <c r="C3" i="1"/>
  <c r="B3" i="1"/>
  <c r="A3" i="1"/>
  <c r="F2" i="1"/>
  <c r="E2" i="1"/>
  <c r="D2" i="1"/>
  <c r="C2" i="1"/>
  <c r="B2" i="1"/>
  <c r="A2" i="1"/>
  <c r="F1" i="1"/>
  <c r="E1" i="1"/>
  <c r="D1" i="1"/>
  <c r="C1" i="1"/>
  <c r="B1" i="1"/>
  <c r="A1" i="1"/>
  <c r="H11" i="1"/>
  <c r="G11" i="1"/>
</calcChain>
</file>

<file path=xl/sharedStrings.xml><?xml version="1.0" encoding="utf-8"?>
<sst xmlns="http://schemas.openxmlformats.org/spreadsheetml/2006/main" count="57" uniqueCount="55">
  <si>
    <t>チェチェン共和国</t>
    <phoneticPr fontId="1"/>
  </si>
  <si>
    <t>チェチェン・イチケリア共和国</t>
    <phoneticPr fontId="1"/>
  </si>
  <si>
    <t>カフカース首長国</t>
    <phoneticPr fontId="1"/>
  </si>
  <si>
    <t>1990年代</t>
    <rPh sb="4" eb="6">
      <t>ネンダイ</t>
    </rPh>
    <phoneticPr fontId="1"/>
  </si>
  <si>
    <t>ジョハル・ドゥダエフ
任期: 1991 - 1996
1996年4月、ロシア軍のロケット弾攻撃で死亡。</t>
    <phoneticPr fontId="1"/>
  </si>
  <si>
    <t>Salambek Khadzhiyev
任期: 1995年1月 - 1995年10月
国民復興政府議長</t>
    <phoneticPr fontId="1"/>
  </si>
  <si>
    <t>Doku Zavgayev
任期: 1995 - 1996
チェチェン元首</t>
    <phoneticPr fontId="1"/>
  </si>
  <si>
    <t>ゼリムハン・ヤンダルビエフ
任期: 1996 - 1997
2004年2月13日、車に仕掛けられた爆弾により死亡。(ロシア情報機関職員による暗殺とみられる。)</t>
    <phoneticPr fontId="1"/>
  </si>
  <si>
    <t>アスラン・マスハドフ
任期: 1997 - 2005
2005年3月8日、ロシア連邦保安庁特殊部隊によって殺害したとロシア連邦保安庁(FSB)が発表</t>
    <phoneticPr fontId="1"/>
  </si>
  <si>
    <t>Nikolay Koshman
任期: 1999 - 2000
チェチェン連邦政府代表</t>
    <phoneticPr fontId="1"/>
  </si>
  <si>
    <t>2000年代</t>
    <rPh sb="4" eb="6">
      <t>ネンダイ</t>
    </rPh>
    <phoneticPr fontId="1"/>
  </si>
  <si>
    <t>アフマド・カディロフ
任期: 2000 - 2004
行政府長官(暫定大統領)
2004年5月9日、チェチェン・イチケリア共和国強硬派 (シャミル・バサエフ) の爆弾テロにより死亡</t>
    <phoneticPr fontId="1"/>
  </si>
  <si>
    <t>アル・アルハノフ
任期: 2004 - 2007</t>
    <phoneticPr fontId="1"/>
  </si>
  <si>
    <t>アブドゥル＝ハリーム・サドゥラエフ
任期: 2005 - 2006
2006年6月17日、ロシア連邦保安庁とチェチェン共和国内務省の共同作戦により殺害</t>
    <phoneticPr fontId="1"/>
  </si>
  <si>
    <t>ラムザン・カディロフ
任期: 2007 -</t>
    <phoneticPr fontId="1"/>
  </si>
  <si>
    <t>ドク・ウマロフ
任期: 2006 - 2007
2014年4月8日、ロシア連邦保安庁がウマロフを殺害したと発表</t>
    <phoneticPr fontId="1"/>
  </si>
  <si>
    <t>ドク・ウマロフ
任期: 2007 - 2013
2014年4月8日、ロシア連邦保安庁がウマロフを殺害したと発表</t>
    <phoneticPr fontId="1"/>
  </si>
  <si>
    <t>アフメド・ザカエフ
任期: 首相、2007 - 2009
2003年、イギリスに政治亡命。ロシアはザカエフを国際指名手配しておりイギリスに対して引渡しを求めている。</t>
    <phoneticPr fontId="1"/>
  </si>
  <si>
    <t>2010年代</t>
    <rPh sb="4" eb="6">
      <t>ネンダイ</t>
    </rPh>
    <phoneticPr fontId="1"/>
  </si>
  <si>
    <t>アリアシャブ・ケベコフ
任期: 2014 - 2015
2015年4月19日、ロシア治安当局によって急襲されて死亡</t>
    <phoneticPr fontId="1"/>
  </si>
  <si>
    <t>マゴメド・スレイマノフ
任期: 2015年5月 - 8月
2015年8月11日、ロシアの治安部隊による特別作戦で死亡</t>
    <phoneticPr fontId="1"/>
  </si>
  <si>
    <t>Zalim Shebzukhov
任期: 2015 - 2016
2016年8月、ロシアの治安部隊による襲撃で死亡</t>
    <phoneticPr fontId="1"/>
  </si>
  <si>
    <t>Test preliminary</t>
  </si>
  <si>
    <t>Test start conditions</t>
  </si>
  <si>
    <t>1st test manoeuvre</t>
  </si>
  <si>
    <t>2nd test manoeuvre</t>
  </si>
  <si>
    <t>Target vehicle</t>
  </si>
  <si>
    <t>speed</t>
  </si>
  <si>
    <r>
      <t>v</t>
    </r>
    <r>
      <rPr>
        <i/>
        <sz val="7.05"/>
        <color theme="1"/>
        <rFont val="MathJax_Math"/>
        <family val="2"/>
      </rPr>
      <t>circle</t>
    </r>
    <r>
      <rPr>
        <sz val="7.05"/>
        <color theme="1"/>
        <rFont val="MathJax_Main"/>
        <family val="2"/>
      </rPr>
      <t>_</t>
    </r>
    <r>
      <rPr>
        <i/>
        <sz val="7.05"/>
        <color theme="1"/>
        <rFont val="MathJax_Math"/>
        <family val="2"/>
      </rPr>
      <t xml:space="preserve">start
</t>
    </r>
    <r>
      <rPr>
        <sz val="10"/>
        <color theme="1"/>
        <rFont val="ＭＳ ゴシック"/>
        <family val="3"/>
        <charset val="128"/>
      </rPr>
      <t>= constant</t>
    </r>
    <phoneticPr fontId="1"/>
  </si>
  <si>
    <t>Decrease velocityby 3,5 m/s ± 0,5 m/s</t>
  </si>
  <si>
    <r>
      <t>v</t>
    </r>
    <r>
      <rPr>
        <i/>
        <sz val="7.05"/>
        <color theme="1"/>
        <rFont val="MathJax_Math"/>
        <family val="2"/>
      </rPr>
      <t>circle</t>
    </r>
    <r>
      <rPr>
        <sz val="11.6"/>
        <color theme="1"/>
        <rFont val="MathJax_Main"/>
        <family val="2"/>
      </rPr>
      <t>=</t>
    </r>
    <r>
      <rPr>
        <i/>
        <sz val="11.6"/>
        <color theme="1"/>
        <rFont val="MathJax_Math"/>
        <family val="2"/>
      </rPr>
      <t>constant</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−3,5</t>
    </r>
    <r>
      <rPr>
        <i/>
        <sz val="11.6"/>
        <color theme="1"/>
        <rFont val="MathJax_Math"/>
        <family val="2"/>
      </rPr>
      <t>m</t>
    </r>
    <r>
      <rPr>
        <sz val="11.6"/>
        <color theme="1"/>
        <rFont val="MathJax_Main"/>
        <family val="2"/>
      </rPr>
      <t>/</t>
    </r>
    <r>
      <rPr>
        <i/>
        <sz val="11.6"/>
        <color theme="1"/>
        <rFont val="MathJax_Math"/>
        <family val="2"/>
      </rPr>
      <t>s</t>
    </r>
    <r>
      <rPr>
        <sz val="11.6"/>
        <color theme="1"/>
        <rFont val="MathJax_Main"/>
        <family val="2"/>
      </rPr>
      <t>±1</t>
    </r>
    <r>
      <rPr>
        <i/>
        <sz val="11.6"/>
        <color theme="1"/>
        <rFont val="MathJax_Math"/>
        <family val="2"/>
      </rPr>
      <t>m</t>
    </r>
    <r>
      <rPr>
        <sz val="11.6"/>
        <color theme="1"/>
        <rFont val="MathJax_Main"/>
        <family val="2"/>
      </rPr>
      <t>/</t>
    </r>
    <r>
      <rPr>
        <i/>
        <sz val="11.6"/>
        <color theme="1"/>
        <rFont val="MathJax_Math"/>
        <family val="2"/>
      </rPr>
      <t>s</t>
    </r>
  </si>
  <si>
    <t>time</t>
  </si>
  <si>
    <t>minimum 10 s</t>
  </si>
  <si>
    <t>time trigger 0 s</t>
  </si>
  <si>
    <t>2s</t>
  </si>
  <si>
    <t>radius</t>
  </si>
  <si>
    <r>
      <rPr>
        <sz val="11.6"/>
        <color theme="1"/>
        <rFont val="ＭＳ Ｐゴシック"/>
        <family val="3"/>
        <charset val="128"/>
      </rPr>
      <t>≥</t>
    </r>
    <r>
      <rPr>
        <i/>
        <sz val="11.6"/>
        <color theme="1"/>
        <rFont val="MathJax_Math"/>
        <family val="2"/>
      </rPr>
      <t xml:space="preserve">R
</t>
    </r>
    <r>
      <rPr>
        <sz val="10"/>
        <color theme="1"/>
        <rFont val="ＭＳ ゴシック"/>
        <family val="3"/>
        <charset val="128"/>
      </rPr>
      <t>as defined in 7.5.1, may vary</t>
    </r>
    <phoneticPr fontId="1"/>
  </si>
  <si>
    <r>
      <t xml:space="preserve">R
</t>
    </r>
    <r>
      <rPr>
        <sz val="10"/>
        <color theme="1"/>
        <rFont val="ＭＳ ゴシック"/>
        <family val="3"/>
        <charset val="128"/>
      </rPr>
      <t>= constant (see 7.5.1)</t>
    </r>
    <phoneticPr fontId="1"/>
  </si>
  <si>
    <t>Subject vehicle</t>
  </si>
  <si>
    <t>as controlled by ACC</t>
  </si>
  <si>
    <t>acceleration</t>
  </si>
  <si>
    <r>
      <rPr>
        <sz val="11.6"/>
        <color theme="1"/>
        <rFont val="ＭＳ Ｐゴシック"/>
        <family val="3"/>
        <charset val="128"/>
      </rPr>
      <t>≤</t>
    </r>
    <r>
      <rPr>
        <sz val="11.6"/>
        <color theme="1"/>
        <rFont val="MathJax_Main"/>
        <family val="2"/>
      </rPr>
      <t>0,5</t>
    </r>
    <r>
      <rPr>
        <i/>
        <sz val="11.6"/>
        <color theme="1"/>
        <rFont val="MathJax_Math"/>
        <family val="2"/>
      </rPr>
      <t>m</t>
    </r>
    <r>
      <rPr>
        <sz val="11.6"/>
        <color theme="1"/>
        <rFont val="MathJax_Main"/>
        <family val="2"/>
      </rPr>
      <t>/</t>
    </r>
    <r>
      <rPr>
        <i/>
        <sz val="11.6"/>
        <color theme="1"/>
        <rFont val="MathJax_Math"/>
        <family val="2"/>
      </rPr>
      <t>s</t>
    </r>
    <r>
      <rPr>
        <vertAlign val="superscript"/>
        <sz val="7.05"/>
        <color theme="1"/>
        <rFont val="MathJax_Main"/>
        <family val="2"/>
      </rPr>
      <t>2</t>
    </r>
    <phoneticPr fontId="1"/>
  </si>
  <si>
    <t>deceleration to be observed</t>
  </si>
  <si>
    <r>
      <rPr>
        <sz val="11.6"/>
        <color theme="1"/>
        <rFont val="ＭＳ Ｐゴシック"/>
        <family val="3"/>
        <charset val="128"/>
      </rPr>
      <t>≥</t>
    </r>
    <r>
      <rPr>
        <i/>
        <sz val="11.6"/>
        <color theme="1"/>
        <rFont val="MathJax_Math"/>
        <family val="2"/>
      </rPr>
      <t xml:space="preserve">R
</t>
    </r>
    <r>
      <rPr>
        <sz val="11.6"/>
        <color theme="1"/>
        <rFont val="MathJax_Math"/>
        <family val="2"/>
      </rPr>
      <t>as defined in 7.5.1, may vary</t>
    </r>
    <phoneticPr fontId="1"/>
  </si>
  <si>
    <r>
      <t xml:space="preserve">R
</t>
    </r>
    <r>
      <rPr>
        <sz val="11.6"/>
        <color theme="1"/>
        <rFont val="MathJax_Math"/>
        <family val="2"/>
      </rPr>
      <t>= constant (see 7.5.1)</t>
    </r>
    <phoneticPr fontId="1"/>
  </si>
  <si>
    <t>time gap to target vehicle</t>
  </si>
  <si>
    <r>
      <t>τ</t>
    </r>
    <r>
      <rPr>
        <i/>
        <sz val="7.05"/>
        <color theme="1"/>
        <rFont val="MathJax_Math"/>
        <family val="2"/>
      </rPr>
      <t>max</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)±25%</t>
    </r>
  </si>
  <si>
    <t>as controlled by ACC, shall be observed</t>
  </si>
  <si>
    <t>Hashim
(eponymous ancestor)</t>
    <phoneticPr fontId="1"/>
  </si>
  <si>
    <t>~~~~</t>
    <phoneticPr fontId="1"/>
  </si>
  <si>
    <t>&lt;img alt="" src="assets/images/Hussein-bin-Ali.png"&gt;&lt;br&gt;
Hussein&lt;br&gt;
Sharif of Mecca
November 1908 – 3 October 1924&lt;br&gt;
King of Hejaz&lt;br&gt;
October 1916 – 3 October 1924</t>
    <phoneticPr fontId="1"/>
  </si>
  <si>
    <t>Zeid&lt;br&gt;
(pretender to Iraq)</t>
    <phoneticPr fontId="1"/>
  </si>
  <si>
    <t>&lt;img alt="" src="assets/images/Ali-bin-Hussein.png"&gt;&lt;br&gt;
Ali&lt;br&gt;
King of Hejaz&lt;br&gt;
3 October 1924 – 19 December 1925&lt;br&gt;
(Monarchy defeated by Saudi conquest)</t>
    <phoneticPr fontId="1"/>
  </si>
  <si>
    <t>&lt;img alt="" src="assets/images/Abdullah-I-of-Jordan.png"&gt;&lt;br&gt;
Abdullah I&lt;br&gt;
Emir (later King) of Jordan&lt;br&gt;
11 April 1921 – 20 July 1951</t>
    <phoneticPr fontId="1"/>
  </si>
  <si>
    <t>&lt;img alt="" src="assets/images/Faisal-I-of-Iraq.png"&gt;&lt;br&gt;
Faisal I&lt;br&gt;
King of Syria&lt;br&gt;
8 March 1920 – 24 July 1920&lt;br&gt;
King of Iraq&lt;br&gt;
23 August 1921 – 8 September 1933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</si>
</sst>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0"/>
      <color theme="1"/>
      <name val="ＭＳ ゴシック"/>
      <family val="2"/>
      <charset val="128"/>
    </font>
    <font>
      <sz val="6"/>
      <name val="ＭＳ ゴシック"/>
      <family val="2"/>
      <charset val="128"/>
    </font>
    <font>
      <sz val="10"/>
      <color rgb="FFFF0000"/>
      <name val="ＭＳ ゴシック"/>
      <family val="2"/>
      <charset val="128"/>
    </font>
    <font>
      <b/>
      <sz val="8"/>
      <color theme="1"/>
      <name val="ＭＳ ゴシック"/>
      <family val="3"/>
      <charset val="128"/>
    </font>
    <font>
      <sz val="10"/>
      <name val="ＭＳ ゴシック"/>
      <family val="2"/>
      <charset val="128"/>
    </font>
    <font>
      <i/>
      <sz val="11.6"/>
      <color theme="1"/>
      <name val="MathJax_Math"/>
      <family val="2"/>
    </font>
    <font>
      <i/>
      <sz val="7.05"/>
      <color theme="1"/>
      <name val="MathJax_Math"/>
      <family val="2"/>
    </font>
    <font>
      <sz val="7.05"/>
      <color theme="1"/>
      <name val="MathJax_Main"/>
      <family val="2"/>
    </font>
    <font>
      <sz val="10"/>
      <color theme="1"/>
      <name val="ＭＳ ゴシック"/>
      <family val="3"/>
      <charset val="128"/>
    </font>
    <font>
      <sz val="11.6"/>
      <color theme="1"/>
      <name val="MathJax_Main"/>
      <family val="2"/>
    </font>
    <font>
      <sz val="11.6"/>
      <color theme="1"/>
      <name val="MathJax_Main"/>
      <family val="3"/>
      <charset val="128"/>
    </font>
    <font>
      <sz val="11.6"/>
      <color theme="1"/>
      <name val="ＭＳ Ｐゴシック"/>
      <family val="3"/>
      <charset val="128"/>
    </font>
    <font>
      <vertAlign val="superscript"/>
      <sz val="7.05"/>
      <color theme="1"/>
      <name val="MathJax_Main"/>
      <family val="2"/>
    </font>
    <font>
      <sz val="11.6"/>
      <color theme="1"/>
      <name val="MathJax_Math"/>
      <family val="2"/>
    </font>
  </fonts>
  <fills count="2">
    <fill>
      <patternFill patternType="none"/>
    </fill>
    <fill>
      <patternFill patternType="gray125"/>
    </fill>
  </fills>
  <borders count="12">
    <border>
      <left/>
      <right/>
      <top/>
      <bottom/>
      <diagonal/>
    </border>
    <border>
      <left/>
      <right style="thin">
        <color auto="1"/>
      </right>
      <top/>
      <bottom/>
      <diagonal/>
    </border>
    <border>
      <left style="thin">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s>
  <cellStyleXfs count="1">
    <xf numFmtId="0" fontId="0" fillId="0" borderId="0">
      <alignment vertical="center"/>
    </xf>
  </cellStyleXfs>
  <cellXfs count="30">
    <xf numFmtId="0" fontId="0" fillId="0" borderId="0" xfId="0">
      <alignment vertical="center"/>
    </xf>
    <xf numFmtId="0" fontId="3" fillId="0" borderId="0" xfId="0" applyFont="1" applyAlignment="1">
      <alignment horizontal="center" vertical="center"/>
    </xf>
    <xf numFmtId="0" fontId="0" fillId="0" borderId="0" xfId="0">
      <alignment vertical="center"/>
    </xf>
    <xf numFmtId="0" fontId="0" fillId="0" borderId="0" xfId="0" applyAlignment="1">
      <alignment vertical="top"/>
    </xf>
    <xf numFmtId="0" fontId="4" fillId="0" borderId="0" xfId="0" applyFont="1" applyAlignment="1">
      <alignment vertical="top" wrapText="1"/>
    </xf>
    <xf numFmtId="0" fontId="0" fillId="0" borderId="0" xfId="0" applyAlignment="1">
      <alignment vertical="top" wrapText="1"/>
    </xf>
    <xf numFmtId="0" fontId="0" fillId="0" borderId="0" xfId="0" applyAlignment="1">
      <alignment vertical="center" wrapText="1"/>
    </xf>
    <xf numFmtId="0" fontId="5"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lignment vertical="center"/>
    </xf>
    <xf numFmtId="0" fontId="0" fillId="0" borderId="0" xfId="0">
      <alignment vertical="center"/>
    </xf>
    <xf numFmtId="0" fontId="2" fillId="0" borderId="0" xfId="0" applyFont="1" applyAlignment="1">
      <alignment vertical="top" wrapText="1"/>
    </xf>
    <xf numFmtId="0" fontId="0" fillId="0" borderId="0" xfId="0" applyAlignment="1">
      <alignment vertical="top" wrapText="1"/>
    </xf>
    <xf numFmtId="0" fontId="4" fillId="0" borderId="0" xfId="0" applyFont="1" applyAlignment="1">
      <alignment vertical="top"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0" fillId="0" borderId="0" xfId="0" applyAlignment="1">
      <alignment horizontal="center" vertical="center"/>
    </xf>
    <xf numFmtId="0" fontId="0" fillId="0" borderId="1" xfId="0" applyBorder="1">
      <alignment vertical="center"/>
    </xf>
    <xf numFmtId="0" fontId="0" fillId="0" borderId="2" xfId="0" applyBorder="1">
      <alignment vertical="center"/>
    </xf>
    <xf numFmtId="0" fontId="0" fillId="0" borderId="3" xfId="0" applyBorder="1" applyAlignment="1">
      <alignment horizontal="center" vertical="center" wrapText="1"/>
    </xf>
    <xf numFmtId="0" fontId="0" fillId="0" borderId="4" xfId="0" applyBorder="1" applyAlignment="1">
      <alignment horizontal="center"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57C5-4F63-4AF3-8E1E-9BDF2A0F1599}">
  <sheetPr codeName="Sheet1"/>
  <dimension ref="A1:H11"/>
  <sheetViews>
    <sheetView workbookViewId="0">
      <selection activeCell="H11" sqref="A1:XFD1048576"/>
    </sheetView>
  </sheetViews>
  <sheetFormatPr defaultRowHeight="12" outlineLevelRow="1" outlineLevelCol="1"/>
  <cols>
    <col min="3" max="3" width="9.140625" hidden="1" customWidth="1" outlineLevel="1"/>
    <col min="4" max="4" width="9.140625" collapsed="1"/>
  </cols>
  <sheetData>
    <row r="1" spans="1:8">
      <c r="A1" s="2" t="str">
        <f t="shared" ref="A1:F9" si="0">CHAR($G$11+COLUMN()-1)&amp;TEXT($H$11+ROW()-1,"@")</f>
        <v>A1</v>
      </c>
      <c r="B1" s="2" t="str">
        <f t="shared" si="0"/>
        <v>B1</v>
      </c>
      <c r="C1" s="2" t="str">
        <f t="shared" si="0"/>
        <v>C1</v>
      </c>
      <c r="D1" s="2" t="str">
        <f t="shared" si="0"/>
        <v>D1</v>
      </c>
      <c r="E1" s="2" t="str">
        <f t="shared" si="0"/>
        <v>E1</v>
      </c>
      <c r="F1" s="2" t="str">
        <f t="shared" si="0"/>
        <v>F1</v>
      </c>
    </row>
    <row r="2" spans="1:8">
      <c r="A2" s="2" t="str">
        <f t="shared" si="0"/>
        <v>A2</v>
      </c>
      <c r="B2" s="2" t="str">
        <f t="shared" si="0"/>
        <v>B2</v>
      </c>
      <c r="C2" s="2" t="str">
        <f t="shared" si="0"/>
        <v>C2</v>
      </c>
      <c r="D2" s="2" t="str">
        <f t="shared" si="0"/>
        <v>D2</v>
      </c>
      <c r="E2" s="2" t="str">
        <f t="shared" si="0"/>
        <v>E2</v>
      </c>
      <c r="F2" s="2" t="str">
        <f t="shared" si="0"/>
        <v>F2</v>
      </c>
    </row>
    <row r="3" spans="1:8" hidden="1" outlineLevel="1">
      <c r="A3" s="2" t="str">
        <f t="shared" si="0"/>
        <v>A3</v>
      </c>
      <c r="B3" s="2" t="str">
        <f t="shared" si="0"/>
        <v>B3</v>
      </c>
      <c r="C3" s="10" t="str">
        <f t="shared" si="0"/>
        <v>C3</v>
      </c>
      <c r="D3" s="10"/>
      <c r="E3" s="10"/>
      <c r="F3" s="2" t="str">
        <f t="shared" si="0"/>
        <v>F3</v>
      </c>
    </row>
    <row r="4" spans="1:8" collapsed="1">
      <c r="A4" s="2" t="str">
        <f t="shared" si="0"/>
        <v>A4</v>
      </c>
      <c r="B4" s="2" t="str">
        <f t="shared" si="0"/>
        <v>B4</v>
      </c>
      <c r="C4" s="10"/>
      <c r="D4" s="10"/>
      <c r="E4" s="10"/>
      <c r="F4" s="2" t="str">
        <f t="shared" si="0"/>
        <v>F4</v>
      </c>
    </row>
    <row r="5" spans="1:8">
      <c r="A5" s="2" t="str">
        <f t="shared" si="0"/>
        <v>A5</v>
      </c>
      <c r="B5" s="2" t="str">
        <f t="shared" si="0"/>
        <v>B5</v>
      </c>
      <c r="C5" s="10"/>
      <c r="D5" s="10"/>
      <c r="E5" s="10"/>
      <c r="F5" s="2" t="str">
        <f t="shared" si="0"/>
        <v>F5</v>
      </c>
    </row>
    <row r="6" spans="1:8">
      <c r="A6" s="2" t="str">
        <f t="shared" si="0"/>
        <v>A6</v>
      </c>
      <c r="B6" s="2" t="str">
        <f t="shared" si="0"/>
        <v>B6</v>
      </c>
      <c r="C6" s="10"/>
      <c r="D6" s="10"/>
      <c r="E6" s="10"/>
      <c r="F6" s="2" t="str">
        <f t="shared" si="0"/>
        <v>F6</v>
      </c>
    </row>
    <row r="7" spans="1:8">
      <c r="A7" s="2" t="str">
        <f t="shared" si="0"/>
        <v>A7</v>
      </c>
      <c r="B7" s="2" t="str">
        <f t="shared" si="0"/>
        <v>B7</v>
      </c>
      <c r="C7" s="2" t="str">
        <f t="shared" si="0"/>
        <v>C7</v>
      </c>
      <c r="D7" s="2" t="str">
        <f t="shared" si="0"/>
        <v>D7</v>
      </c>
      <c r="E7" s="2" t="str">
        <f t="shared" si="0"/>
        <v>E7</v>
      </c>
      <c r="F7" s="2" t="str">
        <f t="shared" si="0"/>
        <v>F7</v>
      </c>
    </row>
    <row r="8" spans="1:8">
      <c r="A8" s="2" t="str">
        <f t="shared" si="0"/>
        <v>A8</v>
      </c>
      <c r="B8" s="2" t="str">
        <f t="shared" si="0"/>
        <v>B8</v>
      </c>
      <c r="C8" s="2" t="str">
        <f t="shared" si="0"/>
        <v>C8</v>
      </c>
      <c r="D8" s="2" t="str">
        <f t="shared" si="0"/>
        <v>D8</v>
      </c>
      <c r="E8" s="2" t="str">
        <f t="shared" si="0"/>
        <v>E8</v>
      </c>
      <c r="F8" s="2" t="str">
        <f t="shared" si="0"/>
        <v>F8</v>
      </c>
    </row>
    <row r="9" spans="1:8">
      <c r="A9" s="2" t="str">
        <f t="shared" si="0"/>
        <v>A9</v>
      </c>
      <c r="B9" s="2" t="str">
        <f t="shared" si="0"/>
        <v>B9</v>
      </c>
      <c r="C9" s="2" t="str">
        <f t="shared" si="0"/>
        <v>C9</v>
      </c>
      <c r="D9" s="2" t="str">
        <f t="shared" si="0"/>
        <v>D9</v>
      </c>
      <c r="E9" s="2" t="str">
        <f t="shared" si="0"/>
        <v>E9</v>
      </c>
      <c r="F9" s="2" t="str">
        <f t="shared" si="0"/>
        <v>F9</v>
      </c>
    </row>
    <row r="11" spans="1:8">
      <c r="G11">
        <f>CODE("A")</f>
        <v>65</v>
      </c>
      <c r="H11" t="str">
        <f>TEXT(1,"0")</f>
        <v>1</v>
      </c>
    </row>
  </sheetData>
  <mergeCells count="1">
    <mergeCell ref="C3:E6"/>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77AB8-245F-4B57-A7DA-F0F628D466EE}">
  <sheetPr codeName="Sheet2"/>
  <dimension ref="A1:D27"/>
  <sheetViews>
    <sheetView workbookViewId="0">
      <pane xSplit="1" ySplit="1" topLeftCell="B2" activePane="bottomRight" state="frozen"/>
      <selection pane="topRight" activeCell="B1" sqref="B1"/>
      <selection pane="bottomLeft" activeCell="A2" sqref="A2"/>
      <selection pane="bottomRight" sqref="A1:D27"/>
    </sheetView>
  </sheetViews>
  <sheetFormatPr defaultRowHeight="12"/>
  <cols>
    <col min="1" max="1" width="9.7109375" bestFit="1" customWidth="1"/>
    <col min="2" max="4" width="59.140625" customWidth="1"/>
  </cols>
  <sheetData>
    <row r="1" spans="1:4">
      <c r="B1" s="1" t="s">
        <v>0</v>
      </c>
      <c r="C1" s="1" t="s">
        <v>1</v>
      </c>
      <c r="D1" s="1" t="s">
        <v>2</v>
      </c>
    </row>
    <row r="2" spans="1:4" ht="36" customHeight="1">
      <c r="A2" s="10" t="s">
        <v>3</v>
      </c>
      <c r="B2" s="3"/>
      <c r="C2" s="12" t="s">
        <v>4</v>
      </c>
      <c r="D2" s="3"/>
    </row>
    <row r="3" spans="1:4">
      <c r="A3" s="10"/>
      <c r="B3" s="3"/>
      <c r="C3" s="12"/>
      <c r="D3" s="3"/>
    </row>
    <row r="4" spans="1:4">
      <c r="A4" s="10"/>
      <c r="B4" s="3"/>
      <c r="C4" s="12"/>
      <c r="D4" s="3"/>
    </row>
    <row r="5" spans="1:4">
      <c r="A5" s="10"/>
      <c r="B5" s="3"/>
      <c r="C5" s="12"/>
      <c r="D5" s="3"/>
    </row>
    <row r="6" spans="1:4" ht="36">
      <c r="A6" s="10"/>
      <c r="B6" s="4" t="s">
        <v>5</v>
      </c>
      <c r="C6" s="12"/>
      <c r="D6" s="3"/>
    </row>
    <row r="7" spans="1:4" ht="48">
      <c r="A7" s="10"/>
      <c r="B7" s="12" t="s">
        <v>6</v>
      </c>
      <c r="C7" s="5" t="s">
        <v>7</v>
      </c>
      <c r="D7" s="3"/>
    </row>
    <row r="8" spans="1:4" ht="48" customHeight="1">
      <c r="A8" s="10"/>
      <c r="B8" s="12"/>
      <c r="C8" s="12" t="s">
        <v>8</v>
      </c>
      <c r="D8" s="3"/>
    </row>
    <row r="9" spans="1:4">
      <c r="A9" s="10"/>
      <c r="B9" s="12"/>
      <c r="C9" s="12"/>
      <c r="D9" s="3"/>
    </row>
    <row r="10" spans="1:4" ht="36">
      <c r="A10" s="10"/>
      <c r="B10" s="5" t="s">
        <v>9</v>
      </c>
      <c r="C10" s="12"/>
      <c r="D10" s="3"/>
    </row>
    <row r="11" spans="1:4" ht="60" customHeight="1">
      <c r="A11" s="10" t="s">
        <v>10</v>
      </c>
      <c r="B11" s="13" t="s">
        <v>11</v>
      </c>
      <c r="C11" s="12"/>
      <c r="D11" s="3"/>
    </row>
    <row r="12" spans="1:4">
      <c r="A12" s="10"/>
      <c r="B12" s="13"/>
      <c r="C12" s="12"/>
      <c r="D12" s="3"/>
    </row>
    <row r="13" spans="1:4">
      <c r="A13" s="10"/>
      <c r="B13" s="13"/>
      <c r="C13" s="12"/>
      <c r="D13" s="3"/>
    </row>
    <row r="14" spans="1:4">
      <c r="A14" s="10"/>
      <c r="B14" s="13"/>
      <c r="C14" s="12"/>
      <c r="D14" s="3"/>
    </row>
    <row r="15" spans="1:4">
      <c r="A15" s="10"/>
      <c r="B15" s="13"/>
      <c r="C15" s="12"/>
      <c r="D15" s="3"/>
    </row>
    <row r="16" spans="1:4" ht="24" customHeight="1">
      <c r="A16" s="10"/>
      <c r="B16" s="12" t="s">
        <v>12</v>
      </c>
      <c r="C16" s="12"/>
      <c r="D16" s="3"/>
    </row>
    <row r="17" spans="1:4" ht="48">
      <c r="A17" s="10"/>
      <c r="B17" s="12"/>
      <c r="C17" s="5" t="s">
        <v>13</v>
      </c>
      <c r="D17" s="3"/>
    </row>
    <row r="18" spans="1:4" ht="36" customHeight="1">
      <c r="A18" s="10"/>
      <c r="B18" s="12" t="s">
        <v>14</v>
      </c>
      <c r="C18" s="12" t="s">
        <v>15</v>
      </c>
      <c r="D18" s="11" t="s">
        <v>16</v>
      </c>
    </row>
    <row r="19" spans="1:4">
      <c r="A19" s="10"/>
      <c r="B19" s="12"/>
      <c r="C19" s="12"/>
      <c r="D19" s="11"/>
    </row>
    <row r="20" spans="1:4" ht="72" customHeight="1">
      <c r="A20" s="10"/>
      <c r="B20" s="12"/>
      <c r="C20" s="5" t="s">
        <v>17</v>
      </c>
      <c r="D20" s="11"/>
    </row>
    <row r="21" spans="1:4">
      <c r="A21" s="10" t="s">
        <v>18</v>
      </c>
      <c r="B21" s="12"/>
      <c r="C21" s="3"/>
      <c r="D21" s="11"/>
    </row>
    <row r="22" spans="1:4">
      <c r="A22" s="10"/>
      <c r="B22" s="12"/>
      <c r="C22" s="3"/>
      <c r="D22" s="11"/>
    </row>
    <row r="23" spans="1:4">
      <c r="A23" s="10"/>
      <c r="B23" s="12"/>
      <c r="C23" s="3"/>
      <c r="D23" s="11"/>
    </row>
    <row r="24" spans="1:4">
      <c r="A24" s="10"/>
      <c r="B24" s="12"/>
      <c r="C24" s="3"/>
      <c r="D24" s="11"/>
    </row>
    <row r="25" spans="1:4" ht="69" customHeight="1">
      <c r="A25" s="10"/>
      <c r="B25" s="12"/>
      <c r="C25" s="3"/>
      <c r="D25" s="5" t="s">
        <v>19</v>
      </c>
    </row>
    <row r="26" spans="1:4" ht="46.5" customHeight="1">
      <c r="A26" s="10"/>
      <c r="B26" s="12"/>
      <c r="C26" s="3"/>
      <c r="D26" s="5" t="s">
        <v>20</v>
      </c>
    </row>
    <row r="27" spans="1:4" ht="57.75" customHeight="1">
      <c r="A27" s="10"/>
      <c r="B27" s="12"/>
      <c r="C27" s="3"/>
      <c r="D27" s="5" t="s">
        <v>21</v>
      </c>
    </row>
  </sheetData>
  <mergeCells count="11">
    <mergeCell ref="D18:D24"/>
    <mergeCell ref="A21:A27"/>
    <mergeCell ref="A2:A10"/>
    <mergeCell ref="C2:C6"/>
    <mergeCell ref="B7:B9"/>
    <mergeCell ref="C8:C16"/>
    <mergeCell ref="A11:A20"/>
    <mergeCell ref="B11:B15"/>
    <mergeCell ref="B16:B17"/>
    <mergeCell ref="B18:B27"/>
    <mergeCell ref="C18:C19"/>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B3B20-584B-441C-8247-E5C24EEDC0E8}">
  <sheetPr codeName="Sheet3"/>
  <dimension ref="A1:E10"/>
  <sheetViews>
    <sheetView workbookViewId="0">
      <selection activeCell="D10" sqref="A1:XFD1048576"/>
    </sheetView>
  </sheetViews>
  <sheetFormatPr defaultRowHeight="12"/>
  <cols>
    <col min="1" max="1" width="35.140625" customWidth="1"/>
    <col min="2" max="5" width="33.140625" customWidth="1"/>
  </cols>
  <sheetData>
    <row r="1" spans="1:5" ht="54" customHeight="1">
      <c r="A1" s="6"/>
      <c r="B1" s="6" t="s">
        <v>22</v>
      </c>
      <c r="C1" s="6" t="s">
        <v>23</v>
      </c>
      <c r="D1" s="6" t="s">
        <v>24</v>
      </c>
      <c r="E1" s="6" t="s">
        <v>25</v>
      </c>
    </row>
    <row r="2" spans="1:5" ht="54" customHeight="1">
      <c r="A2" s="15" t="s">
        <v>26</v>
      </c>
      <c r="B2" s="15"/>
      <c r="C2" s="15"/>
      <c r="D2" s="15"/>
      <c r="E2" s="15"/>
    </row>
    <row r="3" spans="1:5" ht="54" customHeight="1">
      <c r="A3" s="6" t="s">
        <v>27</v>
      </c>
      <c r="B3" s="14" t="s">
        <v>28</v>
      </c>
      <c r="C3" s="14"/>
      <c r="D3" s="6" t="s">
        <v>29</v>
      </c>
      <c r="E3" s="7" t="s">
        <v>30</v>
      </c>
    </row>
    <row r="4" spans="1:5" ht="54" customHeight="1">
      <c r="A4" s="6" t="s">
        <v>31</v>
      </c>
      <c r="B4" s="6" t="s">
        <v>32</v>
      </c>
      <c r="C4" s="6" t="s">
        <v>33</v>
      </c>
      <c r="D4" s="6" t="s">
        <v>34</v>
      </c>
      <c r="E4" s="6"/>
    </row>
    <row r="5" spans="1:5" ht="54" customHeight="1">
      <c r="A5" s="6" t="s">
        <v>35</v>
      </c>
      <c r="B5" s="8" t="s">
        <v>36</v>
      </c>
      <c r="C5" s="14" t="s">
        <v>37</v>
      </c>
      <c r="D5" s="14"/>
      <c r="E5" s="14"/>
    </row>
    <row r="6" spans="1:5" ht="54" customHeight="1">
      <c r="A6" s="15" t="s">
        <v>38</v>
      </c>
      <c r="B6" s="15"/>
      <c r="C6" s="15"/>
      <c r="D6" s="15"/>
      <c r="E6" s="15"/>
    </row>
    <row r="7" spans="1:5" ht="54" customHeight="1">
      <c r="A7" s="6" t="s">
        <v>27</v>
      </c>
      <c r="B7" s="15" t="s">
        <v>39</v>
      </c>
      <c r="C7" s="15"/>
      <c r="D7" s="15"/>
      <c r="E7" s="15"/>
    </row>
    <row r="8" spans="1:5" ht="54" customHeight="1">
      <c r="A8" s="6" t="s">
        <v>40</v>
      </c>
      <c r="B8" s="16" t="s">
        <v>41</v>
      </c>
      <c r="C8" s="17"/>
      <c r="D8" s="15" t="s">
        <v>42</v>
      </c>
      <c r="E8" s="15"/>
    </row>
    <row r="9" spans="1:5" ht="54" customHeight="1">
      <c r="A9" s="6" t="s">
        <v>35</v>
      </c>
      <c r="B9" s="8" t="s">
        <v>43</v>
      </c>
      <c r="C9" s="14" t="s">
        <v>44</v>
      </c>
      <c r="D9" s="14"/>
      <c r="E9" s="14"/>
    </row>
    <row r="10" spans="1:5" ht="54" customHeight="1">
      <c r="A10" s="6" t="s">
        <v>45</v>
      </c>
      <c r="B10" s="14" t="s">
        <v>46</v>
      </c>
      <c r="C10" s="14"/>
      <c r="D10" s="15" t="s">
        <v>47</v>
      </c>
      <c r="E10" s="15"/>
    </row>
  </sheetData>
  <mergeCells count="10">
    <mergeCell ref="C9:E9"/>
    <mergeCell ref="B10:C10"/>
    <mergeCell ref="D10:E10"/>
    <mergeCell ref="A2:E2"/>
    <mergeCell ref="B3:C3"/>
    <mergeCell ref="C5:E5"/>
    <mergeCell ref="A6:E6"/>
    <mergeCell ref="B7:E7"/>
    <mergeCell ref="B8:C8"/>
    <mergeCell ref="D8:E8"/>
  </mergeCells>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71877-BFEF-4DF8-84D8-009E74B4CE2D}">
  <sheetPr codeName="Sheet4"/>
  <dimension ref="B1:L9"/>
  <sheetViews>
    <sheetView tabSelected="1" workbookViewId="0">
      <selection activeCell="F10" sqref="F10"/>
    </sheetView>
  </sheetViews>
  <sheetFormatPr defaultRowHeight="12"/>
  <cols>
    <col min="2" max="3" width="9.140625" style="9"/>
  </cols>
  <sheetData>
    <row r="1" spans="2:12" ht="12.75" thickBot="1"/>
    <row r="2" spans="2:12" ht="41.25" customHeight="1" thickBot="1">
      <c r="E2" s="21" t="s">
        <v>48</v>
      </c>
      <c r="F2" s="22"/>
    </row>
    <row r="3" spans="2:12">
      <c r="E3" s="19"/>
      <c r="F3" s="20"/>
    </row>
    <row r="4" spans="2:12">
      <c r="E4" s="18" t="s">
        <v>49</v>
      </c>
      <c r="F4" s="18"/>
    </row>
    <row r="5" spans="2:12" ht="12.75" thickBot="1">
      <c r="E5" s="19"/>
      <c r="F5" s="20"/>
    </row>
    <row r="6" spans="2:12" ht="183.75" customHeight="1" thickBot="1">
      <c r="E6" s="21" t="s">
        <v>50</v>
      </c>
      <c r="F6" s="22"/>
    </row>
    <row r="7" spans="2:12">
      <c r="E7" s="23"/>
      <c r="F7" s="24"/>
    </row>
    <row r="8" spans="2:12" ht="12.75" thickBot="1">
      <c r="C8" s="26"/>
      <c r="D8" s="27"/>
      <c r="E8" s="25"/>
      <c r="F8" s="26"/>
      <c r="G8" s="27"/>
      <c r="H8" s="28"/>
      <c r="I8" s="29"/>
      <c r="J8" s="27"/>
      <c r="K8" s="25"/>
    </row>
    <row r="9" spans="2:12" ht="151.5" customHeight="1" thickBot="1">
      <c r="B9" s="21" t="s">
        <v>52</v>
      </c>
      <c r="C9" s="22"/>
      <c r="E9" s="21" t="s">
        <v>53</v>
      </c>
      <c r="F9" s="22"/>
      <c r="H9" s="21" t="s">
        <v>54</v>
      </c>
      <c r="I9" s="22"/>
      <c r="K9" s="21" t="s">
        <v>51</v>
      </c>
      <c r="L9" s="22"/>
    </row>
  </sheetData>
  <mergeCells count="7">
    <mergeCell ref="K9:L9"/>
    <mergeCell ref="E2:F2"/>
    <mergeCell ref="E4:F4"/>
    <mergeCell ref="E6:F6"/>
    <mergeCell ref="E9:F9"/>
    <mergeCell ref="B9:C9"/>
    <mergeCell ref="H9:I9"/>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Sheet1</vt:lpstr>
      <vt:lpstr>Sheet2</vt:lpstr>
      <vt:lpstr>Sheet3</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2021-04-04T05:18:03Z</dcterms:created>
  <dcterms:modified xsi:type="dcterms:W3CDTF">2021-04-29T07:39:43Z</dcterms:modified>
</cp:coreProperties>
</file>